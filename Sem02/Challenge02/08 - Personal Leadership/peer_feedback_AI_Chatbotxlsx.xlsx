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stichtingfontys-my.sharepoint.com/personal/348534_student_fontys_nl/Documents/Microsoft Teams Chat Files/"/>
    </mc:Choice>
  </mc:AlternateContent>
  <xr:revisionPtr revIDLastSave="150" documentId="8_{149F29C4-32F4-4C58-9A72-874F264F7024}" xr6:coauthVersionLast="47" xr6:coauthVersionMax="47" xr10:uidLastSave="{87E7435A-776E-43D5-9D45-97C5EC9C6CA9}"/>
  <bookViews>
    <workbookView xWindow="-110" yWindow="-110" windowWidth="25820" windowHeight="15500" xr2:uid="{00000000-000D-0000-FFFF-FFFF00000000}"/>
  </bookViews>
  <sheets>
    <sheet name="Feedbackformulier" sheetId="1" r:id="rId1"/>
    <sheet name="Overzicht" sheetId="2" r:id="rId2"/>
    <sheet name="Samenvatting" sheetId="3" r:id="rId3"/>
    <sheet name="Lijsten" sheetId="4" r:id="rId4"/>
  </sheets>
  <definedNames>
    <definedName name="_xlnm._FilterDatabase" localSheetId="0" hidden="1">Feedbackformulier!$A$6:$H$20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3" l="1"/>
  <c r="F10" i="3"/>
  <c r="E10" i="3"/>
  <c r="C10" i="3"/>
  <c r="B10" i="3"/>
  <c r="G9" i="3"/>
  <c r="F9" i="3"/>
  <c r="E9" i="3"/>
  <c r="C9" i="3"/>
  <c r="B9" i="3"/>
  <c r="G8" i="3"/>
  <c r="F8" i="3"/>
  <c r="E8" i="3"/>
  <c r="C8" i="3"/>
  <c r="B8" i="3"/>
  <c r="G7" i="3"/>
  <c r="F7" i="3"/>
  <c r="E7" i="3"/>
  <c r="C7" i="3"/>
  <c r="B7" i="3"/>
  <c r="G6" i="3"/>
  <c r="F6" i="3"/>
  <c r="E6" i="3"/>
  <c r="C6" i="3"/>
  <c r="B6" i="3"/>
  <c r="G5" i="3"/>
  <c r="F5" i="3"/>
  <c r="E5" i="3"/>
  <c r="C5" i="3"/>
  <c r="B5" i="3"/>
  <c r="K4" i="3"/>
  <c r="G4" i="3"/>
  <c r="F4" i="3"/>
  <c r="E4" i="3"/>
  <c r="C4" i="3"/>
  <c r="K5" i="3" s="1"/>
  <c r="K7" i="3" s="1"/>
  <c r="B4" i="3"/>
  <c r="H17" i="2"/>
  <c r="G17" i="2"/>
  <c r="F17" i="2"/>
  <c r="E17" i="2"/>
  <c r="D17" i="2"/>
  <c r="C17" i="2"/>
  <c r="B17" i="2"/>
  <c r="I17" i="2" s="1"/>
  <c r="D5" i="3" l="1"/>
  <c r="H5" i="3" s="1"/>
  <c r="D6" i="3"/>
  <c r="H6" i="3" s="1"/>
  <c r="D7" i="3"/>
  <c r="H7" i="3" s="1"/>
  <c r="D8" i="3"/>
  <c r="H8" i="3" s="1"/>
  <c r="D9" i="3"/>
  <c r="H9" i="3" s="1"/>
  <c r="D10" i="3"/>
  <c r="H10" i="3" s="1"/>
  <c r="D4" i="3"/>
  <c r="K6" i="3"/>
  <c r="H4" i="3"/>
</calcChain>
</file>

<file path=xl/sharedStrings.xml><?xml version="1.0" encoding="utf-8"?>
<sst xmlns="http://schemas.openxmlformats.org/spreadsheetml/2006/main" count="184" uniqueCount="94">
  <si>
    <t>Peer feedbackformulier - projectgroep</t>
  </si>
  <si>
    <t>Doel</t>
  </si>
  <si>
    <t>Vul per toegewezen teamgenoot feedback in over gedrag binnen het team: wat ging goed en wat kan beter. Gebruik concrete voorbeelden en houd het respectvol.</t>
  </si>
  <si>
    <t>Afspraak</t>
  </si>
  <si>
    <t>Elke actieve groepsgenoot wordt door precies 2 mensen beoordeeld. Iedereen vult 2 beoordelingen in.</t>
  </si>
  <si>
    <t>Tip</t>
  </si>
  <si>
    <t>Maak feedback specifiek: situatie + gedrag + effect + suggestie. Dus niet alleen 'goed bezig', maar waarom/wanneer.</t>
  </si>
  <si>
    <t>Reviewer</t>
  </si>
  <si>
    <t>Teamgenoot</t>
  </si>
  <si>
    <t>Dingen die goed gingen</t>
  </si>
  <si>
    <t>Dingen die beter kunnen</t>
  </si>
  <si>
    <t>Suggestie / actiepunt</t>
  </si>
  <si>
    <t>Samenwerking (1-5)</t>
  </si>
  <si>
    <t>Communicatie (1-5)</t>
  </si>
  <si>
    <t>Inzet (1-5)</t>
  </si>
  <si>
    <t>Nick</t>
  </si>
  <si>
    <t>Jurgen</t>
  </si>
  <si>
    <t>Je had een sterke visie en altijd concrete onderbouwing voor die visie. Daarnaast stond je ook open voor tegengas bij die visie en had je geen moeite met die aanpassen als dat zorgt voor een beter resultaat.</t>
  </si>
  <si>
    <t>Je had een rol als scrum-master en deze had je duidelijker op je mogen nemen. Soms verdween je naar de achtergrond maar jij bent juist het centrale punt voor aansturing en waarborging van de processen.</t>
  </si>
  <si>
    <t>Probeer meer initiatief te nemen als het aankomt op aansturing/waarborging van de processen bij een leiderschapsrol.</t>
  </si>
  <si>
    <t>Sahel</t>
  </si>
  <si>
    <t>Je hebt je ontzettend goed ingezet voor de frontend. Je schakelde goed met de stakeholder en de groep en vroeg regelmatig om feedback wat heeft geresulteerd in een sterk design waar je trots op mag zijn.</t>
  </si>
  <si>
    <t>In de eerste sprint had je nog meerdere taken op je, ook backend gerelateerd. Uiteindelijk heb ik het initiatief genomen om je te benaderen met het voorstel om jouw takenpakket terug te brengen tot alleen de frontend omdat je naar mijn inziens te veel hooi op je vork had. Ik twijfel niet over of je, zelfs met zoveel hooi op je vork, je best had gedaan voor een goed resultaat. Je mag ook nee zeggen bij toewijzing van taken als je merkt dat er veel van je gevraagd wordt terwijl je kennis nog beperkt is.</t>
  </si>
  <si>
    <t>Geef duidelijk je grenzen aan, dit voorkomt dat je zelf overspoeld raakt met nieuwe dingen en helpt je bij overzicht houden.</t>
  </si>
  <si>
    <t>Je hebt inititief en leiderschap genomen over de front-end, en dit uitendelijk veel beter neergezet dan verwacht was! Je hebt hier echt laten zien dat je verantwoordelijkheid draagt en weet wat je doet. Daarnaast heb je ook initiatief genomen bij de presentatie voor Carla waarbij wij samen de voortgang van het project hebben gepresenteerd.</t>
  </si>
  <si>
    <t>Je hebt bij het maken van de front-end alles naar jezelf getrokken, wat sterk was, maar je had nog meer om hulp kunnen vragen. We hebben ontzettend veel kennis in onze groep.</t>
  </si>
  <si>
    <t xml:space="preserve">Vraag vaker om hulp bij andere, het kan geen kwaad om bepaalde dilemma's neer te leggen in de groep. Je hebt wel advies gevraagd bij de experttafels dus het vragen naar hulp in het algemeen doe je goed, maar binnen de groep kan je er nog extra op letten. </t>
  </si>
  <si>
    <t>Robert</t>
  </si>
  <si>
    <t>Je onderdeel stond verder af van de rest van de groep, waardoor je min of meer als eilandje moest opereren. Desondanks dat ben je sterk betrokken geweest bij alle processen en overleggen. Je gaf input en dacht mee, ookal ging het niet om je eigen vakgebied. Daarnaast heb je contact opgepakt met Carla, wat getuigd van het feit dat je eigenaarschap neemt.</t>
  </si>
  <si>
    <t xml:space="preserve">Je hebt je eigen onderdeel beperkt gedeeld met de groep, ondanks dat het voor de proof of concept niet crusiaal was, is het denk ik wel nog waardevol om vooralsnog je eigen plannen/uitwerkingen meer met de groep te delen. </t>
  </si>
  <si>
    <t>Probeer binnen de groep meer om hulp te vragen, of deel stukken vaker ter controle. De vakdocent is niet de enige persoon die je verder kan helpen.</t>
  </si>
  <si>
    <t>Goed bereikbaar en toont voldoende inzet, zowel fysiek als online.</t>
  </si>
  <si>
    <t>Het was voor mij soms onduidelijk hoever hij was met zijn taken binnen het project en hoe die samenhingen met mijn werk.</t>
  </si>
  <si>
    <t>Probeer meer iteraties van je werk te delen en houdt evt. een logboek bij van je werkzaamheden.</t>
  </si>
  <si>
    <t>Tutai</t>
  </si>
  <si>
    <t>Heel behulpzaam, zelfs met taken van anderen, en deelt zijn AI werk goed met de rest.</t>
  </si>
  <si>
    <t>Tutai is een ervaren en werkende IT'er, dus soms was er een communicatiekloof tussen hem en mij.</t>
  </si>
  <si>
    <t>Probeer vakjargon en complexe concepten in simpelere woorden uit te leggen aan groepsleden met minder voorkennis.</t>
  </si>
  <si>
    <t>Het was fijn om met je samen te werken. Vragen die ik had over het product inhoudelijk werden geduldig beantwoord en je stond altijd open om te helpen. De backend die je hebt neergezet was solide en goed gedocumenteerd.</t>
  </si>
  <si>
    <t>Ik zelf heb vrij weinig verstand van code, dus ik zou het meer waarderen als er meer word gesproken in functionele termen, en niet alleen code technische termen</t>
  </si>
  <si>
    <t xml:space="preserve">probeer bij technische uitleg een korte samenvatting te maken voor degen die niet zo into code zijn, zodat iedereen kan volgen wat de status is </t>
  </si>
  <si>
    <t>Irsad</t>
  </si>
  <si>
    <t xml:space="preserve">je was altijd aanwezig bij overleggen en toonde gedurende het project steeds meer innitiatief. De groei was merkbaar en is zeker waardeerbaar. </t>
  </si>
  <si>
    <t>Als je issues hebt, ergens tegenaanloopt, of ergems moeite mee hebt, ga vooral naar ons toe of naar de docent.</t>
  </si>
  <si>
    <t>deel vaker tussentijdse updates, ookal zijn het kleine stapjes. Dit helpt het team om beter op elkaar af te stemmen</t>
  </si>
  <si>
    <t>Heel sterk in documentatie: je Analyse document met 13 hoofdstukken, de testcases en de dataflow-tabel per chatbeurt zijn heel bruikbaar voor mij als backend-developer. Je hebt het AI-team-datacontract (ADR-001 slider, prompt V2.1, AVG-checklist) goed verwerkt in je use cases.</t>
  </si>
  <si>
    <t>Je code-bijdrage in de repo bleef achter bij wat de taakverdeling Backend Development beschreef. Daardoor pakte ik veel FastAPI-endpoints en chatflow-werk op terwijl dat eigenlijk jouw focus zou zijn.</t>
  </si>
  <si>
    <t>Begin eerder met klein code-werk parallel aan je documentatie. Pak bijvoorbeeld één endpoint per sprint en zet er een pull request voor open. Zo blijft het werk testbaar en kan ik je tijdig reviewen.</t>
  </si>
  <si>
    <t>Bram</t>
  </si>
  <si>
    <t>Sterke product owner: de Projectscope, Happy Flow en het Samenwerkingsdocument waren steeds up-to-date en gaven mij houvast bij gespreksontwerp. Je stakeholder-contact met Carla is heel betrouwbaar en je houdt de scope strak (Positieve Gezondheid als Won't have, focus op Leefstijlroer).</t>
  </si>
  <si>
    <t>Scope-wijzigingen vanuit stakeholdergesprekken kwamen soms laat bij het AI-team, waardoor we in de week erna pas konden bijsturen op de prompt en dataset.</t>
  </si>
  <si>
    <t>Betrek Nick en mij tijdens of direct na het stakeholdergesprek, ook al is het kort. Zo kunnen we dezelfde week schakelen in plaats van een sprint later.</t>
  </si>
  <si>
    <t>Enorm tevreden met hoe jij de touwtjes in handen weet te pakken en te werk gaat binnen onze groep. Je laat duidelijk leiderschao merken binnen de groep op deze manier. Wat dit nog indrukwekkernder maakt voor mij is het feit dat je 2 gezonde kinderen hebt gekregen midden in het project. Kudos!</t>
  </si>
  <si>
    <t>Geen op of aanmerkingen. Ik heb het samen werken met jou als heel fijn ervaren.</t>
  </si>
  <si>
    <t>/</t>
  </si>
  <si>
    <t>Heel erg onder de indruk van jouw kennis over AI. Dit heeft enorm geholpen tijdens het project bij vragen of onduidelijkheden die ik had. Je hebt geen moment geaarzeld om mij uitleg te geven of te helpen, dit kon ik enorm waarderen.</t>
  </si>
  <si>
    <t>Had je graag nog wat vaker in het echt gezien. Buiten dat om geen op- of aanmerkingen. Altijd aanwezig al is het online :)</t>
  </si>
  <si>
    <t>Ik vond het heel fijn om met je samen te werken.  Ondanks je gezondheid, bleef je super betrokken en gemotiveerd om bij te blijven. Je sterke vakkennis is een absolute meerwaarde voor de groep. Ik ben erg blij dat we dit samen hebben opgepakt!</t>
  </si>
  <si>
    <t>Heel veel ging goed. Het enige wat ik spannend vond, was of men de richting zou accepteren waar jij in het begin heen ging als technische lead. Het ging goed, maar toch zou ik adviseren om daarin, bij een democratische groepsopdracht, vooraf meer te overleggen. Maar nogmaals: het ging dus goed!</t>
  </si>
  <si>
    <t>Als eerste: complimenten! Je was er altijd en je was betrouwbaar, en dat is meer waard dan het klinkt. Ik kon echt op je rekenen! Je had een positieve invloed op de groep, hielp het project vooruit en je bent een fijn iemand om mee samen te werken. Dat wilde ik hier even kwijt, bedankt!</t>
  </si>
  <si>
    <t>Probeer een volgende keer iets eerder op de rit te hebben wat je moet doen om je hoofddoel te bereiken. Je hoofddoel was dit semester halen; een aantal weken voor de deadline kwam je erachter dat je daar nog wat extra stappen voor moest zetten. Dat heb je vervolgens keurig opgepakt, dus complimenten daarvoor!
Mijn tip is wel: zorg dat je in het vervolg eerder helder hebt wat je persoonlijke doel en het groepsdoel zijn, en probeer die belangen zo snel mogelijk met elkaar te verenigen. Het is ideaal als het ene doel het andere ondersteunt, bij voorkeur al aan het begin van een project.
Daarnaast houdt de rol van scrummaster in de praktijk vaak wat meer in, maar voor een eerste keer, zeker omdat je aangaf dat het nieuw voor je was, heb je het uitstekend gedaan!</t>
  </si>
  <si>
    <t>Verdeling peer feedback</t>
  </si>
  <si>
    <t>Regel</t>
  </si>
  <si>
    <t>Uitleg</t>
  </si>
  <si>
    <t>Check</t>
  </si>
  <si>
    <t>Beoordeeld worden</t>
  </si>
  <si>
    <t>Elke actieve groepsgenoot krijgt feedback van 2 mensen.</t>
  </si>
  <si>
    <t>Zie kolom Totaal ontvangen</t>
  </si>
  <si>
    <t>Beoordelen</t>
  </si>
  <si>
    <t>Iedereen geeft feedback aan 2 teamgenoten.</t>
  </si>
  <si>
    <t>Zie rij Totaal gegeven</t>
  </si>
  <si>
    <t>Geen zelf-feedback</t>
  </si>
  <si>
    <t>Niemand beoordeelt zichzelf.</t>
  </si>
  <si>
    <t>Diagonaal blijft leeg</t>
  </si>
  <si>
    <t>Reviewer \ Teamgenoot</t>
  </si>
  <si>
    <t>Totaal gegeven</t>
  </si>
  <si>
    <t>X</t>
  </si>
  <si>
    <t>Totaal ontvangen</t>
  </si>
  <si>
    <t>Beoordeelt persoon 1</t>
  </si>
  <si>
    <t>Beoordeelt persoon 2</t>
  </si>
  <si>
    <t>Samenvatting voortgang en scores</t>
  </si>
  <si>
    <t>Feedback ontvangen</t>
  </si>
  <si>
    <t>Ingevuld</t>
  </si>
  <si>
    <t>Open</t>
  </si>
  <si>
    <t>Gem. samenwerking</t>
  </si>
  <si>
    <t>Gem. communicatie</t>
  </si>
  <si>
    <t>Gem. inzet</t>
  </si>
  <si>
    <t>Opmerking</t>
  </si>
  <si>
    <t>KPI</t>
  </si>
  <si>
    <t>Waarde</t>
  </si>
  <si>
    <t>Totaal feedbackregels</t>
  </si>
  <si>
    <t>Voortgang</t>
  </si>
  <si>
    <t>Actieve groepsleden</t>
  </si>
  <si>
    <t>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</si>
</sst>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1"/>
      <color rgb="FFFFFFFF"/>
      <name val="Carlito"/>
    </font>
    <font>
      <b/>
      <sz val="16"/>
      <color rgb="FFFFFFFF"/>
      <name val="Carlito"/>
    </font>
    <font>
      <b/>
      <sz val="11"/>
      <name val="Carlito"/>
    </font>
    <font>
      <sz val="11"/>
      <name val="Carlito"/>
    </font>
    <font>
      <sz val="11"/>
      <name val="-Apple-System"/>
      <charset val="1"/>
    </font>
  </fonts>
  <fills count="10">
    <fill>
      <patternFill patternType="none"/>
    </fill>
    <fill>
      <patternFill patternType="gray125"/>
    </fill>
    <fill>
      <patternFill patternType="solid">
        <fgColor rgb="FF1F4E79"/>
      </patternFill>
    </fill>
    <fill>
      <patternFill patternType="solid">
        <fgColor rgb="FF0F172A"/>
      </patternFill>
    </fill>
    <fill>
      <patternFill patternType="solid">
        <fgColor rgb="FFE2F0D9"/>
      </patternFill>
    </fill>
    <fill>
      <patternFill patternType="solid">
        <fgColor rgb="FFF8FAFC"/>
      </patternFill>
    </fill>
    <fill>
      <patternFill patternType="solid">
        <fgColor rgb="FFEAF4FF"/>
      </patternFill>
    </fill>
    <fill>
      <patternFill patternType="solid">
        <fgColor rgb="FFFFF2CC"/>
      </patternFill>
    </fill>
    <fill>
      <patternFill patternType="solid">
        <fgColor rgb="FFD9EAF7"/>
      </patternFill>
    </fill>
    <fill>
      <patternFill patternType="solid">
        <fgColor rgb="FFFFFFFF"/>
        <bgColor indexed="64"/>
      </patternFill>
    </fill>
  </fills>
  <borders count="2">
    <border>
      <left/>
      <right/>
      <top/>
      <bottom/>
      <diagonal/>
    </border>
    <border>
      <left/>
      <right/>
      <top/>
      <bottom/>
      <diagonal/>
    </border>
  </borders>
  <cellStyleXfs count="1">
    <xf numFmtId="0" fontId="0" fillId="0" borderId="1"/>
  </cellStyleXfs>
  <cellXfs count="17">
    <xf numFmtId="0" fontId="0" fillId="0" borderId="0" xfId="0" applyBorder="1"/>
    <xf numFmtId="0" fontId="0" fillId="0" borderId="1" xfId="0"/>
    <xf numFmtId="0" fontId="3" fillId="4" borderId="1" xfId="0" applyFont="1" applyFill="1"/>
    <xf numFmtId="0" fontId="0" fillId="5" borderId="1" xfId="0" applyFill="1" applyAlignment="1">
      <alignment wrapText="1"/>
    </xf>
    <xf numFmtId="0" fontId="1" fillId="2" borderId="1" xfId="0" applyFont="1" applyFill="1" applyAlignment="1">
      <alignment horizontal="center" vertical="center" wrapText="1"/>
    </xf>
    <xf numFmtId="0" fontId="4" fillId="6" borderId="1" xfId="0" applyFont="1" applyFill="1" applyAlignment="1">
      <alignment vertical="top" wrapText="1"/>
    </xf>
    <xf numFmtId="0" fontId="0" fillId="7" borderId="1" xfId="0" applyFill="1" applyAlignment="1">
      <alignment vertical="top" wrapText="1"/>
    </xf>
    <xf numFmtId="0" fontId="3" fillId="8" borderId="1" xfId="0" applyFont="1" applyFill="1" applyAlignment="1">
      <alignment horizontal="center" vertical="center" wrapText="1"/>
    </xf>
    <xf numFmtId="0" fontId="0" fillId="0" borderId="1" xfId="0" applyAlignment="1">
      <alignment horizontal="center" vertical="center"/>
    </xf>
    <xf numFmtId="0" fontId="3" fillId="4" borderId="1" xfId="0" applyFont="1" applyFill="1" applyAlignment="1">
      <alignment horizontal="center"/>
    </xf>
    <xf numFmtId="0" fontId="0" fillId="5" borderId="1" xfId="0" applyFill="1" applyAlignment="1">
      <alignment horizontal="center"/>
    </xf>
    <xf numFmtId="164" fontId="0" fillId="5" borderId="1" xfId="0" applyNumberFormat="1" applyFill="1" applyAlignment="1">
      <alignment horizontal="center"/>
    </xf>
    <xf numFmtId="9" fontId="3" fillId="4" borderId="1" xfId="0" applyNumberFormat="1" applyFont="1" applyFill="1" applyAlignment="1">
      <alignment horizontal="center"/>
    </xf>
    <xf numFmtId="0" fontId="5" fillId="9" borderId="1" xfId="0" applyFont="1" applyFill="1" applyAlignment="1">
      <alignment wrapText="1"/>
    </xf>
    <xf numFmtId="0" fontId="2" fillId="3" borderId="1" xfId="0" applyFont="1" applyFill="1" applyAlignment="1">
      <alignment horizontal="left" vertical="center"/>
    </xf>
    <xf numFmtId="0" fontId="0" fillId="0" borderId="1" xfId="0" applyAlignment="1"/>
    <xf numFmtId="0" fontId="0" fillId="7" borderId="1" xfId="0" applyFill="1" applyBorder="1" applyAlignment="1">
      <alignment vertical="top" wrapText="1"/>
    </xf>
  </cellXfs>
  <cellStyles count="1">
    <cellStyle name="Standaard" xfId="0" builtinId="0"/>
  </cellStyles>
  <dxfs count="7">
    <dxf>
      <fill>
        <patternFill patternType="solid">
          <bgColor rgb="FFFFF2CC"/>
        </patternFill>
      </fill>
    </dxf>
    <dxf>
      <fill>
        <patternFill patternType="solid">
          <bgColor rgb="FFD9EAD3"/>
        </patternFill>
      </fill>
    </dxf>
    <dxf>
      <fill>
        <patternFill patternType="solid">
          <bgColor rgb="FFF4CCCC"/>
        </patternFill>
      </fill>
    </dxf>
    <dxf>
      <font>
        <b/>
      </font>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1"/>
  <c:style val="2"/>
  <c:chart>
    <c:autoTitleDeleted val="1"/>
    <c:plotArea>
      <c:layout/>
      <c:barChart>
        <c:barDir val="col"/>
        <c:grouping val="clustered"/>
        <c:varyColors val="0"/>
        <c:ser>
          <c:idx val="0"/>
          <c:order val="0"/>
          <c:tx>
            <c:v>Aantal</c:v>
          </c:tx>
          <c:spPr>
            <a:ln>
              <a:prstDash val="solid"/>
            </a:ln>
          </c:spPr>
          <c:invertIfNegative val="1"/>
          <c:cat>
            <c:strRef>
              <c:f>Samenvatting!$J$4:$J$6</c:f>
              <c:strCache>
                <c:ptCount val="3"/>
                <c:pt idx="0">
                  <c:v>Totaal feedbackregels</c:v>
                </c:pt>
                <c:pt idx="1">
                  <c:v>Ingevuld</c:v>
                </c:pt>
                <c:pt idx="2">
                  <c:v>Open</c:v>
                </c:pt>
              </c:strCache>
            </c:strRef>
          </c:cat>
          <c:val>
            <c:numRef>
              <c:f>Samenvatting!$K$4:$K$6</c:f>
              <c:numCache>
                <c:formatCode>General</c:formatCode>
                <c:ptCount val="3"/>
                <c:pt idx="0">
                  <c:v>14</c:v>
                </c:pt>
                <c:pt idx="1">
                  <c:v>14</c:v>
                </c:pt>
                <c:pt idx="2">
                  <c:v>0</c:v>
                </c:pt>
              </c:numCache>
            </c:numRef>
          </c:val>
          <c:extLst>
            <c:ext xmlns:c16="http://schemas.microsoft.com/office/drawing/2014/chart" uri="{C3380CC4-5D6E-409C-BE32-E72D297353CC}">
              <c16:uniqueId val="{00000000-4865-4143-8105-73712BB7B41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8</xdr:row>
      <xdr:rowOff>0</xdr:rowOff>
    </xdr:from>
    <xdr:to>
      <xdr:col>14</xdr:col>
      <xdr:colOff>0</xdr:colOff>
      <xdr:row>24</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ssignmentTable" displayName="AssignmentTable" ref="A20:C27">
  <tableColumns count="3">
    <tableColumn id="1" xr3:uid="{00000000-0010-0000-0100-000001000000}" name="Reviewer"/>
    <tableColumn id="2" xr3:uid="{00000000-0010-0000-0100-000002000000}" name="Beoordeelt persoon 1"/>
    <tableColumn id="3" xr3:uid="{00000000-0010-0000-0100-000003000000}" name="Beoordeelt persoon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mmaryTable" displayName="SummaryTable" ref="A3:H10">
  <tableColumns count="8">
    <tableColumn id="1" xr3:uid="{00000000-0010-0000-0200-000001000000}" name="Teamgenoot"/>
    <tableColumn id="2" xr3:uid="{00000000-0010-0000-0200-000002000000}" name="Feedback ontvangen"/>
    <tableColumn id="3" xr3:uid="{00000000-0010-0000-0200-000003000000}" name="Ingevuld"/>
    <tableColumn id="4" xr3:uid="{00000000-0010-0000-0200-000004000000}" name="Open"/>
    <tableColumn id="5" xr3:uid="{00000000-0010-0000-0200-000005000000}" name="Gem. samenwerking"/>
    <tableColumn id="6" xr3:uid="{00000000-0010-0000-0200-000006000000}" name="Gem. communicatie"/>
    <tableColumn id="7" xr3:uid="{00000000-0010-0000-0200-000007000000}" name="Gem. inzet"/>
    <tableColumn id="8" xr3:uid="{00000000-0010-0000-0200-000008000000}" name="Opmerk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D4" workbookViewId="0">
      <selection activeCell="I10" sqref="I10"/>
    </sheetView>
  </sheetViews>
  <sheetFormatPr defaultRowHeight="14.1"/>
  <cols>
    <col min="1" max="1" width="13" bestFit="1" customWidth="1"/>
    <col min="2" max="2" width="15.625" bestFit="1" customWidth="1"/>
    <col min="3" max="3" width="83.375" bestFit="1" customWidth="1"/>
    <col min="4" max="4" width="81.875" bestFit="1" customWidth="1"/>
    <col min="5" max="5" width="54" bestFit="1" customWidth="1"/>
    <col min="6" max="7" width="19.875" bestFit="1" customWidth="1"/>
    <col min="8" max="8" width="13.125" bestFit="1" customWidth="1"/>
    <col min="9" max="10" width="14" customWidth="1"/>
    <col min="11" max="11" width="18" customWidth="1"/>
  </cols>
  <sheetData>
    <row r="1" spans="1:8" ht="27.95" customHeight="1">
      <c r="A1" s="14" t="s">
        <v>0</v>
      </c>
      <c r="B1" s="15"/>
      <c r="C1" s="15"/>
      <c r="D1" s="15"/>
      <c r="E1" s="15"/>
      <c r="F1" s="15"/>
      <c r="G1" s="15"/>
      <c r="H1" s="15"/>
    </row>
    <row r="2" spans="1:8" ht="168">
      <c r="A2" s="2" t="s">
        <v>1</v>
      </c>
      <c r="B2" s="3" t="s">
        <v>2</v>
      </c>
      <c r="C2" s="3"/>
      <c r="D2" s="3"/>
      <c r="E2" s="3"/>
      <c r="F2" s="3"/>
      <c r="G2" s="3"/>
      <c r="H2" s="3"/>
    </row>
    <row r="3" spans="1:8" ht="98.1">
      <c r="A3" s="2" t="s">
        <v>3</v>
      </c>
      <c r="B3" s="3" t="s">
        <v>4</v>
      </c>
      <c r="C3" s="3"/>
      <c r="D3" s="3"/>
      <c r="E3" s="3"/>
      <c r="F3" s="3"/>
      <c r="G3" s="3"/>
      <c r="H3" s="3"/>
    </row>
    <row r="4" spans="1:8" ht="98.1">
      <c r="A4" s="2" t="s">
        <v>5</v>
      </c>
      <c r="B4" s="3" t="s">
        <v>6</v>
      </c>
      <c r="C4" s="3"/>
      <c r="D4" s="3"/>
      <c r="E4" s="3"/>
      <c r="F4" s="3"/>
      <c r="G4" s="3"/>
      <c r="H4" s="3"/>
    </row>
    <row r="6" spans="1:8">
      <c r="A6" s="4" t="s">
        <v>7</v>
      </c>
      <c r="B6" s="4" t="s">
        <v>8</v>
      </c>
      <c r="C6" s="4" t="s">
        <v>9</v>
      </c>
      <c r="D6" s="4" t="s">
        <v>10</v>
      </c>
      <c r="E6" s="4" t="s">
        <v>11</v>
      </c>
      <c r="F6" s="4" t="s">
        <v>12</v>
      </c>
      <c r="G6" s="4" t="s">
        <v>13</v>
      </c>
      <c r="H6" s="4" t="s">
        <v>14</v>
      </c>
    </row>
    <row r="7" spans="1:8" ht="42">
      <c r="A7" s="5" t="s">
        <v>15</v>
      </c>
      <c r="B7" s="5" t="s">
        <v>16</v>
      </c>
      <c r="C7" s="6" t="s">
        <v>17</v>
      </c>
      <c r="D7" s="6" t="s">
        <v>18</v>
      </c>
      <c r="E7" s="6" t="s">
        <v>19</v>
      </c>
      <c r="F7" s="6">
        <v>5</v>
      </c>
      <c r="G7" s="6">
        <v>4</v>
      </c>
      <c r="H7" s="6">
        <v>5</v>
      </c>
    </row>
    <row r="8" spans="1:8" ht="84">
      <c r="A8" s="5" t="s">
        <v>15</v>
      </c>
      <c r="B8" s="5" t="s">
        <v>20</v>
      </c>
      <c r="C8" s="6" t="s">
        <v>21</v>
      </c>
      <c r="D8" s="6" t="s">
        <v>22</v>
      </c>
      <c r="E8" s="6" t="s">
        <v>23</v>
      </c>
      <c r="F8" s="6">
        <v>5</v>
      </c>
      <c r="G8" s="6">
        <v>4</v>
      </c>
      <c r="H8" s="6">
        <v>5</v>
      </c>
    </row>
    <row r="9" spans="1:8" ht="84">
      <c r="A9" s="5" t="s">
        <v>16</v>
      </c>
      <c r="B9" s="5" t="s">
        <v>20</v>
      </c>
      <c r="C9" s="6" t="s">
        <v>24</v>
      </c>
      <c r="D9" s="6" t="s">
        <v>25</v>
      </c>
      <c r="E9" s="6" t="s">
        <v>26</v>
      </c>
      <c r="F9" s="6">
        <v>5</v>
      </c>
      <c r="G9" s="6">
        <v>4</v>
      </c>
      <c r="H9" s="6">
        <v>5</v>
      </c>
    </row>
    <row r="10" spans="1:8" ht="66.75">
      <c r="A10" s="5" t="s">
        <v>16</v>
      </c>
      <c r="B10" s="5" t="s">
        <v>27</v>
      </c>
      <c r="C10" s="6" t="s">
        <v>28</v>
      </c>
      <c r="D10" s="6" t="s">
        <v>29</v>
      </c>
      <c r="E10" s="6" t="s">
        <v>30</v>
      </c>
      <c r="F10" s="6">
        <v>5</v>
      </c>
      <c r="G10" s="6">
        <v>5</v>
      </c>
      <c r="H10" s="6">
        <v>5</v>
      </c>
    </row>
    <row r="11" spans="1:8" ht="27.95">
      <c r="A11" s="5" t="s">
        <v>20</v>
      </c>
      <c r="B11" s="5" t="s">
        <v>27</v>
      </c>
      <c r="C11" s="6" t="s">
        <v>31</v>
      </c>
      <c r="D11" s="6" t="s">
        <v>32</v>
      </c>
      <c r="E11" s="6" t="s">
        <v>33</v>
      </c>
      <c r="F11" s="6">
        <v>4</v>
      </c>
      <c r="G11" s="6">
        <v>4</v>
      </c>
      <c r="H11" s="6">
        <v>5</v>
      </c>
    </row>
    <row r="12" spans="1:8" ht="27.95">
      <c r="A12" s="5" t="s">
        <v>20</v>
      </c>
      <c r="B12" s="5" t="s">
        <v>34</v>
      </c>
      <c r="C12" s="6" t="s">
        <v>35</v>
      </c>
      <c r="D12" s="6" t="s">
        <v>36</v>
      </c>
      <c r="E12" s="6" t="s">
        <v>37</v>
      </c>
      <c r="F12" s="6">
        <v>5</v>
      </c>
      <c r="G12" s="6">
        <v>4</v>
      </c>
      <c r="H12" s="6">
        <v>5</v>
      </c>
    </row>
    <row r="13" spans="1:8" ht="50.25">
      <c r="A13" s="5" t="s">
        <v>27</v>
      </c>
      <c r="B13" s="5" t="s">
        <v>34</v>
      </c>
      <c r="C13" s="6" t="s">
        <v>38</v>
      </c>
      <c r="D13" s="16" t="s">
        <v>39</v>
      </c>
      <c r="E13" s="16" t="s">
        <v>40</v>
      </c>
      <c r="F13" s="6">
        <v>5</v>
      </c>
      <c r="G13" s="6">
        <v>4</v>
      </c>
      <c r="H13" s="6">
        <v>5</v>
      </c>
    </row>
    <row r="14" spans="1:8" ht="33.75">
      <c r="A14" s="5" t="s">
        <v>27</v>
      </c>
      <c r="B14" s="5" t="s">
        <v>41</v>
      </c>
      <c r="C14" s="16" t="s">
        <v>42</v>
      </c>
      <c r="D14" s="6" t="s">
        <v>43</v>
      </c>
      <c r="E14" s="16" t="s">
        <v>44</v>
      </c>
      <c r="F14" s="6">
        <v>5</v>
      </c>
      <c r="G14" s="6">
        <v>4</v>
      </c>
      <c r="H14" s="6">
        <v>5</v>
      </c>
    </row>
    <row r="15" spans="1:8" ht="42">
      <c r="A15" s="5" t="s">
        <v>34</v>
      </c>
      <c r="B15" s="5" t="s">
        <v>41</v>
      </c>
      <c r="C15" s="6" t="s">
        <v>45</v>
      </c>
      <c r="D15" s="6" t="s">
        <v>46</v>
      </c>
      <c r="E15" s="6" t="s">
        <v>47</v>
      </c>
      <c r="F15" s="6">
        <v>5</v>
      </c>
      <c r="G15" s="6">
        <v>5</v>
      </c>
      <c r="H15" s="6">
        <v>5</v>
      </c>
    </row>
    <row r="16" spans="1:8" ht="42">
      <c r="A16" s="5" t="s">
        <v>34</v>
      </c>
      <c r="B16" s="5" t="s">
        <v>48</v>
      </c>
      <c r="C16" s="6" t="s">
        <v>49</v>
      </c>
      <c r="D16" s="6" t="s">
        <v>50</v>
      </c>
      <c r="E16" s="6" t="s">
        <v>51</v>
      </c>
      <c r="F16" s="6">
        <v>5</v>
      </c>
      <c r="G16" s="6">
        <v>5</v>
      </c>
      <c r="H16" s="6">
        <v>5</v>
      </c>
    </row>
    <row r="17" spans="1:8" ht="42">
      <c r="A17" s="5" t="s">
        <v>41</v>
      </c>
      <c r="B17" s="5" t="s">
        <v>48</v>
      </c>
      <c r="C17" s="6" t="s">
        <v>52</v>
      </c>
      <c r="D17" s="6" t="s">
        <v>53</v>
      </c>
      <c r="E17" s="6" t="s">
        <v>54</v>
      </c>
      <c r="F17" s="6">
        <v>5</v>
      </c>
      <c r="G17" s="6">
        <v>5</v>
      </c>
      <c r="H17" s="6">
        <v>5</v>
      </c>
    </row>
    <row r="18" spans="1:8" ht="42">
      <c r="A18" s="5" t="s">
        <v>41</v>
      </c>
      <c r="B18" s="5" t="s">
        <v>15</v>
      </c>
      <c r="C18" s="6" t="s">
        <v>55</v>
      </c>
      <c r="D18" s="6" t="s">
        <v>56</v>
      </c>
      <c r="E18" s="6" t="s">
        <v>54</v>
      </c>
      <c r="F18" s="6">
        <v>5</v>
      </c>
      <c r="G18" s="6">
        <v>5</v>
      </c>
      <c r="H18" s="6">
        <v>5</v>
      </c>
    </row>
    <row r="19" spans="1:8" ht="42">
      <c r="A19" s="5" t="s">
        <v>48</v>
      </c>
      <c r="B19" s="5" t="s">
        <v>15</v>
      </c>
      <c r="C19" s="6" t="s">
        <v>57</v>
      </c>
      <c r="D19" s="6" t="s">
        <v>58</v>
      </c>
      <c r="E19" s="6" t="s">
        <v>54</v>
      </c>
      <c r="F19" s="6">
        <v>5</v>
      </c>
      <c r="G19" s="6">
        <v>5</v>
      </c>
      <c r="H19" s="6">
        <v>5</v>
      </c>
    </row>
    <row r="20" spans="1:8" ht="153.94999999999999">
      <c r="A20" s="5" t="s">
        <v>48</v>
      </c>
      <c r="B20" s="5" t="s">
        <v>16</v>
      </c>
      <c r="C20" s="16" t="s">
        <v>59</v>
      </c>
      <c r="D20" s="6" t="s">
        <v>60</v>
      </c>
      <c r="E20" s="6" t="s">
        <v>54</v>
      </c>
      <c r="F20" s="6">
        <v>5</v>
      </c>
      <c r="G20" s="6">
        <v>5</v>
      </c>
      <c r="H20" s="6">
        <v>5</v>
      </c>
    </row>
    <row r="21" spans="1:8">
      <c r="A21" s="1"/>
      <c r="B21" s="1"/>
      <c r="C21" s="13"/>
      <c r="D21" s="1"/>
      <c r="E21" s="1"/>
      <c r="F21" s="1"/>
      <c r="G21" s="1"/>
      <c r="H21" s="1"/>
    </row>
  </sheetData>
  <autoFilter ref="A6:H20" xr:uid="{00000000-0009-0000-0000-000000000000}"/>
  <mergeCells count="1">
    <mergeCell ref="A1:H1"/>
  </mergeCells>
  <conditionalFormatting sqref="G7:I20">
    <cfRule type="colorScale" priority="4">
      <colorScale>
        <cfvo type="min"/>
        <cfvo type="percentile" val="50"/>
        <cfvo type="max"/>
        <color rgb="FFF4CCCC"/>
        <color rgb="FFFFF2CC"/>
        <color rgb="FFD9EAD3"/>
      </colorScale>
    </cfRule>
  </conditionalFormatting>
  <conditionalFormatting sqref="K7:K20">
    <cfRule type="expression" dxfId="6" priority="1">
      <formula>K7="Ingevuld"</formula>
    </cfRule>
    <cfRule type="expression" dxfId="5" priority="2">
      <formula>K7="Bezig"</formula>
    </cfRule>
    <cfRule type="expression" dxfId="4" priority="3">
      <formula>K7="Nog niet gestart"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000-000000000000}">
          <x14:formula1>
            <xm:f>Lijsten!$E$2:$E$6</xm:f>
          </x14:formula1>
          <xm:sqref>F7:H20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workbookViewId="0">
      <selection activeCell="E22" sqref="E22"/>
    </sheetView>
  </sheetViews>
  <sheetFormatPr defaultRowHeight="14.1"/>
  <cols>
    <col min="1" max="1" width="24" customWidth="1"/>
    <col min="2" max="3" width="18" customWidth="1"/>
    <col min="4" max="8" width="12" customWidth="1"/>
    <col min="9" max="9" width="16" customWidth="1"/>
    <col min="10" max="10" width="12" customWidth="1"/>
  </cols>
  <sheetData>
    <row r="1" spans="1:10" ht="20.100000000000001">
      <c r="A1" s="14" t="s">
        <v>61</v>
      </c>
      <c r="B1" s="15"/>
      <c r="C1" s="15"/>
      <c r="D1" s="15"/>
      <c r="E1" s="15"/>
      <c r="F1" s="15"/>
      <c r="G1" s="15"/>
      <c r="H1" s="15"/>
      <c r="I1" s="15"/>
      <c r="J1" s="15"/>
    </row>
    <row r="3" spans="1:10">
      <c r="A3" s="4" t="s">
        <v>62</v>
      </c>
      <c r="B3" s="4" t="s">
        <v>63</v>
      </c>
      <c r="C3" s="4" t="s">
        <v>64</v>
      </c>
      <c r="D3" s="1"/>
      <c r="E3" s="1"/>
      <c r="F3" s="1"/>
      <c r="G3" s="1"/>
      <c r="H3" s="1"/>
      <c r="I3" s="1"/>
      <c r="J3" s="1"/>
    </row>
    <row r="4" spans="1:10" ht="56.1">
      <c r="A4" s="3" t="s">
        <v>65</v>
      </c>
      <c r="B4" s="3" t="s">
        <v>66</v>
      </c>
      <c r="C4" s="3" t="s">
        <v>67</v>
      </c>
      <c r="D4" s="1"/>
      <c r="E4" s="1"/>
      <c r="F4" s="1"/>
      <c r="G4" s="1"/>
      <c r="H4" s="1"/>
      <c r="I4" s="1"/>
      <c r="J4" s="1"/>
    </row>
    <row r="5" spans="1:10" ht="42">
      <c r="A5" s="3" t="s">
        <v>68</v>
      </c>
      <c r="B5" s="3" t="s">
        <v>69</v>
      </c>
      <c r="C5" s="3" t="s">
        <v>70</v>
      </c>
      <c r="D5" s="1"/>
      <c r="E5" s="1"/>
      <c r="F5" s="1"/>
      <c r="G5" s="1"/>
      <c r="H5" s="1"/>
      <c r="I5" s="1"/>
      <c r="J5" s="1"/>
    </row>
    <row r="6" spans="1:10" ht="27.95">
      <c r="A6" s="3" t="s">
        <v>71</v>
      </c>
      <c r="B6" s="3" t="s">
        <v>72</v>
      </c>
      <c r="C6" s="3" t="s">
        <v>73</v>
      </c>
      <c r="D6" s="1"/>
      <c r="E6" s="1"/>
      <c r="F6" s="1"/>
      <c r="G6" s="1"/>
      <c r="H6" s="1"/>
      <c r="I6" s="1"/>
      <c r="J6" s="1"/>
    </row>
    <row r="9" spans="1:10">
      <c r="A9" s="4" t="s">
        <v>74</v>
      </c>
      <c r="B9" s="4" t="s">
        <v>15</v>
      </c>
      <c r="C9" s="4" t="s">
        <v>16</v>
      </c>
      <c r="D9" s="4" t="s">
        <v>20</v>
      </c>
      <c r="E9" s="4" t="s">
        <v>27</v>
      </c>
      <c r="F9" s="4" t="s">
        <v>34</v>
      </c>
      <c r="G9" s="4" t="s">
        <v>41</v>
      </c>
      <c r="H9" s="4" t="s">
        <v>48</v>
      </c>
      <c r="I9" s="4" t="s">
        <v>75</v>
      </c>
      <c r="J9" s="1"/>
    </row>
    <row r="10" spans="1:10">
      <c r="A10" s="7" t="s">
        <v>15</v>
      </c>
      <c r="B10" s="8"/>
      <c r="C10" s="8" t="s">
        <v>76</v>
      </c>
      <c r="D10" s="8" t="s">
        <v>76</v>
      </c>
      <c r="E10" s="8"/>
      <c r="F10" s="8"/>
      <c r="G10" s="8"/>
      <c r="H10" s="8"/>
      <c r="I10" s="9">
        <v>2</v>
      </c>
      <c r="J10" s="1"/>
    </row>
    <row r="11" spans="1:10">
      <c r="A11" s="7" t="s">
        <v>16</v>
      </c>
      <c r="B11" s="8"/>
      <c r="C11" s="8"/>
      <c r="D11" s="8" t="s">
        <v>76</v>
      </c>
      <c r="E11" s="8" t="s">
        <v>76</v>
      </c>
      <c r="F11" s="8"/>
      <c r="G11" s="8"/>
      <c r="H11" s="8"/>
      <c r="I11" s="9">
        <v>2</v>
      </c>
      <c r="J11" s="1"/>
    </row>
    <row r="12" spans="1:10">
      <c r="A12" s="7" t="s">
        <v>20</v>
      </c>
      <c r="B12" s="8"/>
      <c r="C12" s="8"/>
      <c r="D12" s="8"/>
      <c r="E12" s="8" t="s">
        <v>76</v>
      </c>
      <c r="F12" s="8" t="s">
        <v>76</v>
      </c>
      <c r="G12" s="8"/>
      <c r="H12" s="8"/>
      <c r="I12" s="9">
        <v>2</v>
      </c>
      <c r="J12" s="1"/>
    </row>
    <row r="13" spans="1:10">
      <c r="A13" s="7" t="s">
        <v>27</v>
      </c>
      <c r="B13" s="8"/>
      <c r="C13" s="8"/>
      <c r="D13" s="8"/>
      <c r="E13" s="8"/>
      <c r="F13" s="8" t="s">
        <v>76</v>
      </c>
      <c r="G13" s="8" t="s">
        <v>76</v>
      </c>
      <c r="H13" s="8"/>
      <c r="I13" s="9">
        <v>2</v>
      </c>
      <c r="J13" s="1"/>
    </row>
    <row r="14" spans="1:10">
      <c r="A14" s="7" t="s">
        <v>34</v>
      </c>
      <c r="B14" s="8"/>
      <c r="C14" s="8"/>
      <c r="D14" s="8"/>
      <c r="E14" s="8"/>
      <c r="F14" s="8"/>
      <c r="G14" s="8" t="s">
        <v>76</v>
      </c>
      <c r="H14" s="8" t="s">
        <v>76</v>
      </c>
      <c r="I14" s="9">
        <v>2</v>
      </c>
      <c r="J14" s="1"/>
    </row>
    <row r="15" spans="1:10">
      <c r="A15" s="7" t="s">
        <v>41</v>
      </c>
      <c r="B15" s="8" t="s">
        <v>76</v>
      </c>
      <c r="C15" s="8"/>
      <c r="D15" s="8"/>
      <c r="E15" s="8"/>
      <c r="F15" s="8"/>
      <c r="G15" s="8"/>
      <c r="H15" s="8" t="s">
        <v>76</v>
      </c>
      <c r="I15" s="9">
        <v>2</v>
      </c>
      <c r="J15" s="1"/>
    </row>
    <row r="16" spans="1:10">
      <c r="A16" s="7" t="s">
        <v>48</v>
      </c>
      <c r="B16" s="8" t="s">
        <v>76</v>
      </c>
      <c r="C16" s="8" t="s">
        <v>76</v>
      </c>
      <c r="D16" s="8"/>
      <c r="E16" s="8"/>
      <c r="F16" s="8"/>
      <c r="G16" s="8"/>
      <c r="H16" s="8"/>
      <c r="I16" s="9">
        <v>2</v>
      </c>
      <c r="J16" s="1"/>
    </row>
    <row r="17" spans="1:9">
      <c r="A17" s="9" t="s">
        <v>77</v>
      </c>
      <c r="B17" s="9">
        <f t="shared" ref="B17:H17" si="0">COUNTIF(B10:B16,"X")</f>
        <v>2</v>
      </c>
      <c r="C17" s="9">
        <f t="shared" si="0"/>
        <v>2</v>
      </c>
      <c r="D17" s="9">
        <f t="shared" si="0"/>
        <v>2</v>
      </c>
      <c r="E17" s="9">
        <f t="shared" si="0"/>
        <v>2</v>
      </c>
      <c r="F17" s="9">
        <f t="shared" si="0"/>
        <v>2</v>
      </c>
      <c r="G17" s="9">
        <f t="shared" si="0"/>
        <v>2</v>
      </c>
      <c r="H17" s="9">
        <f t="shared" si="0"/>
        <v>2</v>
      </c>
      <c r="I17" s="9">
        <f>SUM(B17:H17)</f>
        <v>14</v>
      </c>
    </row>
    <row r="20" spans="1:9" ht="27.95">
      <c r="A20" s="4" t="s">
        <v>7</v>
      </c>
      <c r="B20" s="4" t="s">
        <v>78</v>
      </c>
      <c r="C20" s="4" t="s">
        <v>79</v>
      </c>
      <c r="D20" s="1"/>
      <c r="E20" s="1"/>
      <c r="F20" s="1"/>
      <c r="G20" s="1"/>
      <c r="H20" s="1"/>
      <c r="I20" s="1"/>
    </row>
    <row r="21" spans="1:9">
      <c r="A21" s="10" t="s">
        <v>15</v>
      </c>
      <c r="B21" s="10" t="s">
        <v>16</v>
      </c>
      <c r="C21" s="10" t="s">
        <v>20</v>
      </c>
      <c r="D21" s="1"/>
      <c r="E21" s="1"/>
      <c r="F21" s="1"/>
      <c r="G21" s="1"/>
      <c r="H21" s="1"/>
      <c r="I21" s="1"/>
    </row>
    <row r="22" spans="1:9">
      <c r="A22" s="10" t="s">
        <v>16</v>
      </c>
      <c r="B22" s="10" t="s">
        <v>20</v>
      </c>
      <c r="C22" s="10" t="s">
        <v>27</v>
      </c>
      <c r="D22" s="1"/>
      <c r="E22" s="1"/>
      <c r="F22" s="1"/>
      <c r="G22" s="1"/>
      <c r="H22" s="1"/>
      <c r="I22" s="1"/>
    </row>
    <row r="23" spans="1:9">
      <c r="A23" s="10" t="s">
        <v>20</v>
      </c>
      <c r="B23" s="10" t="s">
        <v>27</v>
      </c>
      <c r="C23" s="10" t="s">
        <v>34</v>
      </c>
      <c r="D23" s="1"/>
      <c r="E23" s="1"/>
      <c r="F23" s="1"/>
      <c r="G23" s="1"/>
      <c r="H23" s="1"/>
      <c r="I23" s="1"/>
    </row>
    <row r="24" spans="1:9">
      <c r="A24" s="10" t="s">
        <v>27</v>
      </c>
      <c r="B24" s="10" t="s">
        <v>34</v>
      </c>
      <c r="C24" s="10" t="s">
        <v>41</v>
      </c>
      <c r="D24" s="1"/>
      <c r="E24" s="1"/>
      <c r="F24" s="1"/>
      <c r="G24" s="1"/>
      <c r="H24" s="1"/>
      <c r="I24" s="1"/>
    </row>
    <row r="25" spans="1:9">
      <c r="A25" s="10" t="s">
        <v>34</v>
      </c>
      <c r="B25" s="10" t="s">
        <v>41</v>
      </c>
      <c r="C25" s="10" t="s">
        <v>48</v>
      </c>
      <c r="D25" s="1"/>
      <c r="E25" s="1"/>
      <c r="F25" s="1"/>
      <c r="G25" s="1"/>
      <c r="H25" s="1"/>
      <c r="I25" s="1"/>
    </row>
    <row r="26" spans="1:9">
      <c r="A26" s="10" t="s">
        <v>41</v>
      </c>
      <c r="B26" s="10" t="s">
        <v>48</v>
      </c>
      <c r="C26" s="10" t="s">
        <v>15</v>
      </c>
      <c r="D26" s="1"/>
      <c r="E26" s="1"/>
      <c r="F26" s="1"/>
      <c r="G26" s="1"/>
      <c r="H26" s="1"/>
      <c r="I26" s="1"/>
    </row>
    <row r="27" spans="1:9">
      <c r="A27" s="10" t="s">
        <v>48</v>
      </c>
      <c r="B27" s="10" t="s">
        <v>15</v>
      </c>
      <c r="C27" s="10" t="s">
        <v>16</v>
      </c>
      <c r="D27" s="1"/>
      <c r="E27" s="1"/>
      <c r="F27" s="1"/>
      <c r="G27" s="1"/>
      <c r="H27" s="1"/>
      <c r="I27" s="1"/>
    </row>
  </sheetData>
  <mergeCells count="1">
    <mergeCell ref="A1:J1"/>
  </mergeCells>
  <conditionalFormatting sqref="B10:H16">
    <cfRule type="expression" dxfId="3" priority="1">
      <formula>B10="X"</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selection activeCell="F18" sqref="F18"/>
    </sheetView>
  </sheetViews>
  <sheetFormatPr defaultRowHeight="14.1"/>
  <cols>
    <col min="1" max="1" width="18" customWidth="1"/>
    <col min="2" max="2" width="16" customWidth="1"/>
    <col min="3" max="3" width="12" customWidth="1"/>
    <col min="4" max="4" width="10" customWidth="1"/>
    <col min="5" max="6" width="18" customWidth="1"/>
    <col min="7" max="7" width="14" customWidth="1"/>
    <col min="8" max="8" width="22" customWidth="1"/>
    <col min="10" max="10" width="22" customWidth="1"/>
    <col min="11" max="11" width="14" customWidth="1"/>
  </cols>
  <sheetData>
    <row r="1" spans="1:11" ht="20.100000000000001">
      <c r="A1" s="14" t="s">
        <v>80</v>
      </c>
      <c r="B1" s="15"/>
      <c r="C1" s="15"/>
      <c r="D1" s="15"/>
      <c r="E1" s="15"/>
      <c r="F1" s="15"/>
      <c r="G1" s="15"/>
      <c r="H1" s="15"/>
      <c r="I1" s="1"/>
      <c r="J1" s="1"/>
      <c r="K1" s="1"/>
    </row>
    <row r="3" spans="1:11" ht="27.95">
      <c r="A3" s="4" t="s">
        <v>8</v>
      </c>
      <c r="B3" s="4" t="s">
        <v>81</v>
      </c>
      <c r="C3" s="4" t="s">
        <v>82</v>
      </c>
      <c r="D3" s="4" t="s">
        <v>83</v>
      </c>
      <c r="E3" s="4" t="s">
        <v>84</v>
      </c>
      <c r="F3" s="4" t="s">
        <v>85</v>
      </c>
      <c r="G3" s="4" t="s">
        <v>86</v>
      </c>
      <c r="H3" s="4" t="s">
        <v>87</v>
      </c>
      <c r="I3" s="1"/>
      <c r="J3" s="4" t="s">
        <v>88</v>
      </c>
      <c r="K3" s="4" t="s">
        <v>89</v>
      </c>
    </row>
    <row r="4" spans="1:11">
      <c r="A4" s="10" t="s">
        <v>15</v>
      </c>
      <c r="B4" s="10">
        <f>COUNTIF(Feedbackformulier!$B$7:$B$20,A4)</f>
        <v>2</v>
      </c>
      <c r="C4" s="10">
        <f>COUNTIFS(Feedbackformulier!$B$7:$B$20,A4,Feedbackformulier!$H$7:$H$20,"&lt;&gt;")</f>
        <v>2</v>
      </c>
      <c r="D4" s="10">
        <f t="shared" ref="D4:D10" si="0">B4-C4</f>
        <v>0</v>
      </c>
      <c r="E4" s="11">
        <f>IFERROR(SUMIFS(Feedbackformulier!$F$7:$F$20,Feedbackformulier!$B$7:$B$20,A4)/COUNTIFS(Feedbackformulier!$B$7:$B$20,A4,Feedbackformulier!$F$7:$F$20,"&gt;0"),"")</f>
        <v>5</v>
      </c>
      <c r="F4" s="11">
        <f>IFERROR(SUMIFS(Feedbackformulier!$G$7:$G$20,Feedbackformulier!$B$7:$B$20,A4)/COUNTIFS(Feedbackformulier!$B$7:$B$20,A4,Feedbackformulier!$G$7:$G$20,"&gt;0"),"")</f>
        <v>5</v>
      </c>
      <c r="G4" s="11">
        <f>IFERROR(SUMIFS(Feedbackformulier!$H$7:$H$20,Feedbackformulier!$B$7:$B$20,A4)/COUNTIFS(Feedbackformulier!$B$7:$B$20,A4,Feedbackformulier!$H$7:$H$20,"&gt;0"),"")</f>
        <v>5</v>
      </c>
      <c r="H4" s="10" t="str">
        <f t="shared" ref="H4:H10" si="1">IF(D4=0,"Compleet","Nog feedback nodig")</f>
        <v>Compleet</v>
      </c>
      <c r="I4" s="1"/>
      <c r="J4" s="10" t="s">
        <v>90</v>
      </c>
      <c r="K4" s="9">
        <f>COUNTA(Feedbackformulier!$A$7:$A$20)</f>
        <v>14</v>
      </c>
    </row>
    <row r="5" spans="1:11">
      <c r="A5" s="10" t="s">
        <v>16</v>
      </c>
      <c r="B5" s="10">
        <f>COUNTIF(Feedbackformulier!$B$7:$B$20,A5)</f>
        <v>2</v>
      </c>
      <c r="C5" s="10">
        <f>COUNTIFS(Feedbackformulier!$B$7:$B$20,A5,Feedbackformulier!$H$7:$H$20,"&lt;&gt;")</f>
        <v>2</v>
      </c>
      <c r="D5" s="10">
        <f t="shared" si="0"/>
        <v>0</v>
      </c>
      <c r="E5" s="11">
        <f>IFERROR(SUMIFS(Feedbackformulier!$F$7:$F$20,Feedbackformulier!$B$7:$B$20,A5)/COUNTIFS(Feedbackformulier!$B$7:$B$20,A5,Feedbackformulier!$F$7:$F$20,"&gt;0"),"")</f>
        <v>5</v>
      </c>
      <c r="F5" s="11">
        <f>IFERROR(SUMIFS(Feedbackformulier!$G$7:$G$20,Feedbackformulier!$B$7:$B$20,A5)/COUNTIFS(Feedbackformulier!$B$7:$B$20,A5,Feedbackformulier!$G$7:$G$20,"&gt;0"),"")</f>
        <v>4.5</v>
      </c>
      <c r="G5" s="11">
        <f>IFERROR(SUMIFS(Feedbackformulier!$H$7:$H$20,Feedbackformulier!$B$7:$B$20,A5)/COUNTIFS(Feedbackformulier!$B$7:$B$20,A5,Feedbackformulier!$H$7:$H$20,"&gt;0"),"")</f>
        <v>5</v>
      </c>
      <c r="H5" s="10" t="str">
        <f t="shared" si="1"/>
        <v>Compleet</v>
      </c>
      <c r="I5" s="1"/>
      <c r="J5" s="10" t="s">
        <v>82</v>
      </c>
      <c r="K5" s="9">
        <f>SUM(C4:C10)</f>
        <v>14</v>
      </c>
    </row>
    <row r="6" spans="1:11">
      <c r="A6" s="10" t="s">
        <v>20</v>
      </c>
      <c r="B6" s="10">
        <f>COUNTIF(Feedbackformulier!$B$7:$B$20,A6)</f>
        <v>2</v>
      </c>
      <c r="C6" s="10">
        <f>COUNTIFS(Feedbackformulier!$B$7:$B$20,A6,Feedbackformulier!$H$7:$H$20,"&lt;&gt;")</f>
        <v>2</v>
      </c>
      <c r="D6" s="10">
        <f t="shared" si="0"/>
        <v>0</v>
      </c>
      <c r="E6" s="11">
        <f>IFERROR(SUMIFS(Feedbackformulier!$F$7:$F$20,Feedbackformulier!$B$7:$B$20,A6)/COUNTIFS(Feedbackformulier!$B$7:$B$20,A6,Feedbackformulier!$F$7:$F$20,"&gt;0"),"")</f>
        <v>5</v>
      </c>
      <c r="F6" s="11">
        <f>IFERROR(SUMIFS(Feedbackformulier!$G$7:$G$20,Feedbackformulier!$B$7:$B$20,A6)/COUNTIFS(Feedbackformulier!$B$7:$B$20,A6,Feedbackformulier!$G$7:$G$20,"&gt;0"),"")</f>
        <v>4</v>
      </c>
      <c r="G6" s="11">
        <f>IFERROR(SUMIFS(Feedbackformulier!$H$7:$H$20,Feedbackformulier!$B$7:$B$20,A6)/COUNTIFS(Feedbackformulier!$B$7:$B$20,A6,Feedbackformulier!$H$7:$H$20,"&gt;0"),"")</f>
        <v>5</v>
      </c>
      <c r="H6" s="10" t="str">
        <f t="shared" si="1"/>
        <v>Compleet</v>
      </c>
      <c r="I6" s="1"/>
      <c r="J6" s="10" t="s">
        <v>83</v>
      </c>
      <c r="K6" s="9">
        <f>SUM(D4:D10)</f>
        <v>0</v>
      </c>
    </row>
    <row r="7" spans="1:11">
      <c r="A7" s="10" t="s">
        <v>27</v>
      </c>
      <c r="B7" s="10">
        <f>COUNTIF(Feedbackformulier!$B$7:$B$20,A7)</f>
        <v>2</v>
      </c>
      <c r="C7" s="10">
        <f>COUNTIFS(Feedbackformulier!$B$7:$B$20,A7,Feedbackformulier!$H$7:$H$20,"&lt;&gt;")</f>
        <v>2</v>
      </c>
      <c r="D7" s="10">
        <f t="shared" si="0"/>
        <v>0</v>
      </c>
      <c r="E7" s="11">
        <f>IFERROR(SUMIFS(Feedbackformulier!$F$7:$F$20,Feedbackformulier!$B$7:$B$20,A7)/COUNTIFS(Feedbackformulier!$B$7:$B$20,A7,Feedbackformulier!$F$7:$F$20,"&gt;0"),"")</f>
        <v>4.5</v>
      </c>
      <c r="F7" s="11">
        <f>IFERROR(SUMIFS(Feedbackformulier!$G$7:$G$20,Feedbackformulier!$B$7:$B$20,A7)/COUNTIFS(Feedbackformulier!$B$7:$B$20,A7,Feedbackformulier!$G$7:$G$20,"&gt;0"),"")</f>
        <v>4.5</v>
      </c>
      <c r="G7" s="11">
        <f>IFERROR(SUMIFS(Feedbackformulier!$H$7:$H$20,Feedbackformulier!$B$7:$B$20,A7)/COUNTIFS(Feedbackformulier!$B$7:$B$20,A7,Feedbackformulier!$H$7:$H$20,"&gt;0"),"")</f>
        <v>5</v>
      </c>
      <c r="H7" s="10" t="str">
        <f t="shared" si="1"/>
        <v>Compleet</v>
      </c>
      <c r="I7" s="1"/>
      <c r="J7" s="10" t="s">
        <v>91</v>
      </c>
      <c r="K7" s="12">
        <f>IFERROR(K5/K4,0)</f>
        <v>1</v>
      </c>
    </row>
    <row r="8" spans="1:11">
      <c r="A8" s="10" t="s">
        <v>34</v>
      </c>
      <c r="B8" s="10">
        <f>COUNTIF(Feedbackformulier!$B$7:$B$20,A8)</f>
        <v>2</v>
      </c>
      <c r="C8" s="10">
        <f>COUNTIFS(Feedbackformulier!$B$7:$B$20,A8,Feedbackformulier!$H$7:$H$20,"&lt;&gt;")</f>
        <v>2</v>
      </c>
      <c r="D8" s="10">
        <f t="shared" si="0"/>
        <v>0</v>
      </c>
      <c r="E8" s="11">
        <f>IFERROR(SUMIFS(Feedbackformulier!$F$7:$F$20,Feedbackformulier!$B$7:$B$20,A8)/COUNTIFS(Feedbackformulier!$B$7:$B$20,A8,Feedbackformulier!$F$7:$F$20,"&gt;0"),"")</f>
        <v>5</v>
      </c>
      <c r="F8" s="11">
        <f>IFERROR(SUMIFS(Feedbackformulier!$G$7:$G$20,Feedbackformulier!$B$7:$B$20,A8)/COUNTIFS(Feedbackformulier!$B$7:$B$20,A8,Feedbackformulier!$G$7:$G$20,"&gt;0"),"")</f>
        <v>4</v>
      </c>
      <c r="G8" s="11">
        <f>IFERROR(SUMIFS(Feedbackformulier!$H$7:$H$20,Feedbackformulier!$B$7:$B$20,A8)/COUNTIFS(Feedbackformulier!$B$7:$B$20,A8,Feedbackformulier!$H$7:$H$20,"&gt;0"),"")</f>
        <v>5</v>
      </c>
      <c r="H8" s="10" t="str">
        <f>IF(D8=0,"Compleet","Nog feedback nodig")</f>
        <v>Compleet</v>
      </c>
      <c r="I8" s="1"/>
      <c r="J8" s="1"/>
      <c r="K8" s="1"/>
    </row>
    <row r="9" spans="1:11">
      <c r="A9" s="10" t="s">
        <v>41</v>
      </c>
      <c r="B9" s="10">
        <f>COUNTIF(Feedbackformulier!$B$7:$B$20,A9)</f>
        <v>2</v>
      </c>
      <c r="C9" s="10">
        <f>COUNTIFS(Feedbackformulier!$B$7:$B$20,A9,Feedbackformulier!$H$7:$H$20,"&lt;&gt;")</f>
        <v>2</v>
      </c>
      <c r="D9" s="10">
        <f t="shared" si="0"/>
        <v>0</v>
      </c>
      <c r="E9" s="11">
        <f>IFERROR(SUMIFS(Feedbackformulier!$F$7:$F$20,Feedbackformulier!$B$7:$B$20,A9)/COUNTIFS(Feedbackformulier!$B$7:$B$20,A9,Feedbackformulier!$F$7:$F$20,"&gt;0"),"")</f>
        <v>5</v>
      </c>
      <c r="F9" s="11">
        <f>IFERROR(SUMIFS(Feedbackformulier!$G$7:$G$20,Feedbackformulier!$B$7:$B$20,A9)/COUNTIFS(Feedbackformulier!$B$7:$B$20,A9,Feedbackformulier!$G$7:$G$20,"&gt;0"),"")</f>
        <v>4.5</v>
      </c>
      <c r="G9" s="11">
        <f>IFERROR(SUMIFS(Feedbackformulier!$H$7:$H$20,Feedbackformulier!$B$7:$B$20,A9)/COUNTIFS(Feedbackformulier!$B$7:$B$20,A9,Feedbackformulier!$H$7:$H$20,"&gt;0"),"")</f>
        <v>5</v>
      </c>
      <c r="H9" s="10" t="str">
        <f t="shared" si="1"/>
        <v>Compleet</v>
      </c>
      <c r="I9" s="1"/>
      <c r="J9" s="1"/>
      <c r="K9" s="1"/>
    </row>
    <row r="10" spans="1:11">
      <c r="A10" s="10" t="s">
        <v>48</v>
      </c>
      <c r="B10" s="10">
        <f>COUNTIF(Feedbackformulier!$B$7:$B$20,A10)</f>
        <v>2</v>
      </c>
      <c r="C10" s="10">
        <f>COUNTIFS(Feedbackformulier!$B$7:$B$20,A10,Feedbackformulier!$H$7:$H$20,"&lt;&gt;")</f>
        <v>2</v>
      </c>
      <c r="D10" s="10">
        <f t="shared" si="0"/>
        <v>0</v>
      </c>
      <c r="E10" s="11">
        <f>IFERROR(SUMIFS(Feedbackformulier!$F$7:$F$20,Feedbackformulier!$B$7:$B$20,A10)/COUNTIFS(Feedbackformulier!$B$7:$B$20,A10,Feedbackformulier!$F$7:$F$20,"&gt;0"),"")</f>
        <v>5</v>
      </c>
      <c r="F10" s="11">
        <f>IFERROR(SUMIFS(Feedbackformulier!$G$7:$G$20,Feedbackformulier!$B$7:$B$20,A10)/COUNTIFS(Feedbackformulier!$B$7:$B$20,A10,Feedbackformulier!$G$7:$G$20,"&gt;0"),"")</f>
        <v>5</v>
      </c>
      <c r="G10" s="11">
        <f>IFERROR(SUMIFS(Feedbackformulier!$H$7:$H$20,Feedbackformulier!$B$7:$B$20,A10)/COUNTIFS(Feedbackformulier!$B$7:$B$20,A10,Feedbackformulier!$H$7:$H$20,"&gt;0"),"")</f>
        <v>5</v>
      </c>
      <c r="H10" s="10" t="str">
        <f t="shared" si="1"/>
        <v>Compleet</v>
      </c>
      <c r="I10" s="1"/>
      <c r="J10" s="1"/>
      <c r="K10" s="1"/>
    </row>
  </sheetData>
  <mergeCells count="1">
    <mergeCell ref="A1:H1"/>
  </mergeCells>
  <conditionalFormatting sqref="D4:D10">
    <cfRule type="cellIs" dxfId="2" priority="1" operator="greaterThan">
      <formula>0</formula>
    </cfRule>
  </conditionalFormatting>
  <conditionalFormatting sqref="H4:H10">
    <cfRule type="expression" dxfId="1" priority="2">
      <formula>H4="Compleet"</formula>
    </cfRule>
    <cfRule type="expression" dxfId="0" priority="3">
      <formula>H4="Nog feedback nodig"</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election activeCell="E6" sqref="E6"/>
    </sheetView>
  </sheetViews>
  <sheetFormatPr defaultRowHeight="14.1"/>
  <cols>
    <col min="1" max="1" width="16.5" customWidth="1"/>
    <col min="3" max="3" width="12.75" customWidth="1"/>
    <col min="5" max="5" width="5.25" customWidth="1"/>
  </cols>
  <sheetData>
    <row r="1" spans="1:5" ht="27.95">
      <c r="A1" s="4" t="s">
        <v>92</v>
      </c>
      <c r="B1" s="4"/>
      <c r="C1" s="4"/>
      <c r="D1" s="4"/>
      <c r="E1" s="4" t="s">
        <v>93</v>
      </c>
    </row>
    <row r="2" spans="1:5">
      <c r="A2" s="1" t="s">
        <v>15</v>
      </c>
      <c r="B2" s="1"/>
      <c r="C2" s="1"/>
      <c r="D2" s="1"/>
      <c r="E2" s="1">
        <v>1</v>
      </c>
    </row>
    <row r="3" spans="1:5">
      <c r="A3" s="1" t="s">
        <v>16</v>
      </c>
      <c r="B3" s="1"/>
      <c r="C3" s="1"/>
      <c r="D3" s="1"/>
      <c r="E3" s="1">
        <v>2</v>
      </c>
    </row>
    <row r="4" spans="1:5">
      <c r="A4" s="1" t="s">
        <v>20</v>
      </c>
      <c r="B4" s="1"/>
      <c r="C4" s="1"/>
      <c r="D4" s="1"/>
      <c r="E4" s="1">
        <v>3</v>
      </c>
    </row>
    <row r="5" spans="1:5">
      <c r="A5" s="1" t="s">
        <v>27</v>
      </c>
      <c r="B5" s="1"/>
      <c r="C5" s="1"/>
      <c r="D5" s="1"/>
      <c r="E5" s="1">
        <v>4</v>
      </c>
    </row>
    <row r="6" spans="1:5">
      <c r="A6" s="1" t="s">
        <v>34</v>
      </c>
      <c r="B6" s="1"/>
      <c r="C6" s="1"/>
      <c r="D6" s="1"/>
      <c r="E6" s="1">
        <v>5</v>
      </c>
    </row>
    <row r="7" spans="1:5">
      <c r="A7" s="1" t="s">
        <v>41</v>
      </c>
      <c r="B7" s="1"/>
      <c r="C7" s="1"/>
      <c r="D7" s="1"/>
      <c r="E7" s="1"/>
    </row>
    <row r="8" spans="1:5">
      <c r="A8" s="1" t="s">
        <v>48</v>
      </c>
      <c r="B8" s="1"/>
      <c r="C8" s="1"/>
      <c r="D8" s="1"/>
      <c r="E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Kruger,Jurgen J.W.</cp:lastModifiedBy>
  <cp:revision/>
  <dcterms:created xsi:type="dcterms:W3CDTF">2026-06-09T16:22:09Z</dcterms:created>
  <dcterms:modified xsi:type="dcterms:W3CDTF">2026-06-16T08:09:01Z</dcterms:modified>
  <cp:category/>
  <cp:contentStatus/>
</cp:coreProperties>
</file>